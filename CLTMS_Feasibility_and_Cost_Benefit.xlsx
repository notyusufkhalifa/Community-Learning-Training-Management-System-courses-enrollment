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\Documents\School\IS212\Section\Project\"/>
    </mc:Choice>
  </mc:AlternateContent>
  <xr:revisionPtr revIDLastSave="0" documentId="13_ncr:1_{6F5F16F8-4D0C-4C22-9416-29BE44654545}" xr6:coauthVersionLast="47" xr6:coauthVersionMax="47" xr10:uidLastSave="{00000000-0000-0000-0000-000000000000}"/>
  <bookViews>
    <workbookView xWindow="-120" yWindow="-120" windowWidth="20730" windowHeight="11040" tabRatio="500" activeTab="2" xr2:uid="{00000000-000D-0000-FFFF-FFFF00000000}"/>
  </bookViews>
  <sheets>
    <sheet name="ورقة1" sheetId="1" r:id="rId1"/>
    <sheet name="ورقة2" sheetId="2" r:id="rId2"/>
    <sheet name="ورقة3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5" i="3" l="1"/>
  <c r="F15" i="3"/>
  <c r="E15" i="3"/>
  <c r="D15" i="3"/>
  <c r="C15" i="3"/>
  <c r="B15" i="3"/>
  <c r="B16" i="3" s="1"/>
  <c r="G11" i="3"/>
  <c r="G12" i="3" s="1"/>
  <c r="G17" i="3" s="1"/>
  <c r="F11" i="3"/>
  <c r="F12" i="3" s="1"/>
  <c r="F17" i="3" s="1"/>
  <c r="E11" i="3"/>
  <c r="E12" i="3" s="1"/>
  <c r="D11" i="3"/>
  <c r="D12" i="3" s="1"/>
  <c r="C11" i="3"/>
  <c r="C12" i="3" s="1"/>
  <c r="C17" i="3" s="1"/>
  <c r="B10" i="3"/>
  <c r="B12" i="3" s="1"/>
  <c r="B17" i="3" s="1"/>
  <c r="H16" i="2"/>
  <c r="D9" i="3" s="1"/>
  <c r="F16" i="2"/>
  <c r="I20" i="2" s="1"/>
  <c r="D17" i="3" l="1"/>
  <c r="E17" i="3"/>
  <c r="D16" i="3"/>
  <c r="D13" i="3"/>
  <c r="D18" i="3" s="1"/>
  <c r="E9" i="3"/>
  <c r="F9" i="3"/>
  <c r="I21" i="2"/>
  <c r="C9" i="3"/>
  <c r="G9" i="3"/>
  <c r="B13" i="3"/>
  <c r="G16" i="3" l="1"/>
  <c r="G13" i="3"/>
  <c r="G18" i="3" s="1"/>
  <c r="E13" i="3"/>
  <c r="E18" i="3" s="1"/>
  <c r="E16" i="3"/>
  <c r="C16" i="3"/>
  <c r="C13" i="3"/>
  <c r="C18" i="3" s="1"/>
  <c r="B23" i="3"/>
  <c r="B18" i="3"/>
  <c r="B21" i="3" s="1"/>
  <c r="B14" i="3"/>
  <c r="F13" i="3"/>
  <c r="F18" i="3" s="1"/>
  <c r="F16" i="3"/>
  <c r="D10" i="1" l="1"/>
  <c r="I23" i="2"/>
  <c r="C14" i="3"/>
  <c r="B22" i="3"/>
  <c r="D14" i="3" l="1"/>
  <c r="D19" i="3" s="1"/>
  <c r="C19" i="3"/>
  <c r="E14" i="3" l="1"/>
  <c r="F14" i="3" l="1"/>
  <c r="E19" i="3"/>
  <c r="G14" i="3" l="1"/>
  <c r="G19" i="3" s="1"/>
  <c r="F19" i="3"/>
  <c r="B24" i="3" l="1"/>
  <c r="I22" i="2" s="1"/>
</calcChain>
</file>

<file path=xl/sharedStrings.xml><?xml version="1.0" encoding="utf-8"?>
<sst xmlns="http://schemas.openxmlformats.org/spreadsheetml/2006/main" count="97" uniqueCount="91">
  <si>
    <t>Feasibility Analysis - Community Learning &amp; Training Management System (CLTMS)</t>
  </si>
  <si>
    <t>Type</t>
  </si>
  <si>
    <t>Current Situation / Considerations</t>
  </si>
  <si>
    <t>Proposed Solution / Benefits</t>
  </si>
  <si>
    <t>Feasibility Result</t>
  </si>
  <si>
    <t>Technical</t>
  </si>
  <si>
    <t>Course and enrollment data kept in paper forms, spreadsheets and chat groups; no real-time seat availability; no central database.</t>
  </si>
  <si>
    <t>Responsive web application (Arabic/English) with a MySQL/PostgreSQL database, cloud hosting, daily backups, email/SMS notifications.</t>
  </si>
  <si>
    <t>✅ Technically feasible</t>
  </si>
  <si>
    <t>Operational</t>
  </si>
  <si>
    <t>Manual registration is slow; queues; difficult to track payments and attendance; some staff may resist change.</t>
  </si>
  <si>
    <t>Online enrollment, automatic seat control and waiting list, payment records, attendance and certificates; training and one-month parallel run.</t>
  </si>
  <si>
    <t>✅ Operationally feasible</t>
  </si>
  <si>
    <t>Economic</t>
  </si>
  <si>
    <t>One-time cost about EGP 250,000 (development, hosting setup, training, data migration) and about EGP 100,000 per year to run.</t>
  </si>
  <si>
    <t>Benefits about EGP 270,000 in Year 1 (admin labor, paper, fewer errors, extra enrollment), growing 8% per year. See sheets ورقة2 and ورقة3.</t>
  </si>
  <si>
    <t>Legal</t>
  </si>
  <si>
    <t>Learner personal data and payment records must be protected.</t>
  </si>
  <si>
    <t>Consent, access control and encryption in line with Egypt's Personal Data Protection Law (Law 151 of 2020); licensed payment provider.</t>
  </si>
  <si>
    <t>✅ Legally feasible</t>
  </si>
  <si>
    <t>Schedule</t>
  </si>
  <si>
    <t>Registration and reporting depend on manual work and delay the service.</t>
  </si>
  <si>
    <t>Estimated timeline about 6 months (requirements → design → development → testing/data migration → training and go-live).</t>
  </si>
  <si>
    <t>✅ Achievable timeline</t>
  </si>
  <si>
    <t>All amounts are planning estimates in EGP. Blue = input, black = formula.</t>
  </si>
  <si>
    <t>Cost–Benefit Analysis – Community Learning &amp; Training Management System (CLTMS) (EGP)</t>
  </si>
  <si>
    <t>Category</t>
  </si>
  <si>
    <t>Description</t>
  </si>
  <si>
    <t>Estimated Cost</t>
  </si>
  <si>
    <t>Benefits</t>
  </si>
  <si>
    <t>Estimated Value (per year)</t>
  </si>
  <si>
    <t>Software</t>
  </si>
  <si>
    <t>Analysis, design, development and testing of the web system (one-time)</t>
  </si>
  <si>
    <t>Online catalog and enrollment replace manual registration and reporting.</t>
  </si>
  <si>
    <t>Hardware / hosting setup</t>
  </si>
  <si>
    <t>Cloud server setup, backups, staff devices (one-time)</t>
  </si>
  <si>
    <t>Fewer enrollment and payment errors; service available all the time.</t>
  </si>
  <si>
    <t>Training</t>
  </si>
  <si>
    <t>Staff and trainer workshops and user guides (one-time)</t>
  </si>
  <si>
    <t>Smooth transition; staff use the system efficiently.</t>
  </si>
  <si>
    <t>Included in other benefits</t>
  </si>
  <si>
    <t>Data migration</t>
  </si>
  <si>
    <t>Moving existing learner and course records from spreadsheets (one-time)</t>
  </si>
  <si>
    <t>All records available from day one.</t>
  </si>
  <si>
    <t>Maintenance and running costs</t>
  </si>
  <si>
    <t>Hosting, support, licenses/SMS, administrator time (per year)</t>
  </si>
  <si>
    <t>Keeps the system reliable and secure.</t>
  </si>
  <si>
    <t>-</t>
  </si>
  <si>
    <t>Administration</t>
  </si>
  <si>
    <t>Current manual system: paper forms, printing, notices</t>
  </si>
  <si>
    <t>Eliminated with CLTMS → mostly paperless.</t>
  </si>
  <si>
    <t>Enrollment revenue</t>
  </si>
  <si>
    <t>Extra learners reached online (about 200 × EGP 500)</t>
  </si>
  <si>
    <t>Wider reach and easier enrollment.</t>
  </si>
  <si>
    <t>User Experience</t>
  </si>
  <si>
    <t>Queues and phone calls waste learners' time</t>
  </si>
  <si>
    <t>Faster access to courses, better satisfaction and reputation.</t>
  </si>
  <si>
    <t>Intangible but high value</t>
  </si>
  <si>
    <t>Total (first year)</t>
  </si>
  <si>
    <t>Summary</t>
  </si>
  <si>
    <t>Total estimated costs (first year, EGP)</t>
  </si>
  <si>
    <t>Total estimated annual benefits (Year 1, EGP)</t>
  </si>
  <si>
    <t>Payback period (years)</t>
  </si>
  <si>
    <t>Net present value over 5 years (EGP)</t>
  </si>
  <si>
    <t>Conclusion: CLTMS is economically feasible - it pays back in about 1.4 years and has a clearly positive 5-year NPV.</t>
  </si>
  <si>
    <t>5-Year Projection - CLTMS (EGP)</t>
  </si>
  <si>
    <t>Discount rate</t>
  </si>
  <si>
    <t>Annual benefit growth</t>
  </si>
  <si>
    <t>Annual operating cost growth</t>
  </si>
  <si>
    <t>Assumptions are estimates; change the yellow cells to test other scenarios.</t>
  </si>
  <si>
    <t>EGP</t>
  </si>
  <si>
    <t>Year 0</t>
  </si>
  <si>
    <t>Year 1</t>
  </si>
  <si>
    <t>Year 2</t>
  </si>
  <si>
    <t>Year 3</t>
  </si>
  <si>
    <t>Year 4</t>
  </si>
  <si>
    <t>Year 5</t>
  </si>
  <si>
    <t>Year index</t>
  </si>
  <si>
    <t>Development cost (one-time)</t>
  </si>
  <si>
    <t>Operating costs</t>
  </si>
  <si>
    <t>Total costs</t>
  </si>
  <si>
    <t>Net cash flow</t>
  </si>
  <si>
    <t>Cumulative net cash flow</t>
  </si>
  <si>
    <t>Discount factor</t>
  </si>
  <si>
    <t>PV of benefits</t>
  </si>
  <si>
    <t>PV of costs</t>
  </si>
  <si>
    <t>PV of net cash flow</t>
  </si>
  <si>
    <t>Payback helper (years)</t>
  </si>
  <si>
    <t>Net present value (NPV, EGP)</t>
  </si>
  <si>
    <t>Return on investment (ROI, PV basis)</t>
  </si>
  <si>
    <t>Internal rate of return (IRR)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</si>
</sst>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"/>
    <numFmt numFmtId="166" formatCode="0.0%"/>
    <numFmt numFmtId="167" formatCode="0.0000"/>
  </numFmts>
  <fonts count="10" x14ac:knownFonts="1">
    <font>
      <sz val="11"/>
      <color theme="1"/>
      <name val="Arial"/>
      <family val="2"/>
      <charset val="178"/>
    </font>
    <font>
      <b/>
      <sz val="14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9"/>
      <name val="Arial"/>
      <charset val="1"/>
    </font>
    <font>
      <sz val="11"/>
      <color rgb="FF0000FF"/>
      <name val="Arial"/>
      <charset val="1"/>
    </font>
    <font>
      <b/>
      <sz val="11"/>
      <color rgb="FF000000"/>
      <name val="Arial"/>
      <charset val="1"/>
    </font>
    <font>
      <b/>
      <sz val="11"/>
      <color rgb="FF008000"/>
      <name val="Arial"/>
      <charset val="1"/>
    </font>
    <font>
      <sz val="11"/>
      <color rgb="FF008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164" fontId="6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4" fillId="0" borderId="0" xfId="0" applyFont="1"/>
    <xf numFmtId="164" fontId="7" fillId="0" borderId="0" xfId="0" applyNumberFormat="1" applyFont="1"/>
    <xf numFmtId="165" fontId="8" fillId="0" borderId="0" xfId="0" applyNumberFormat="1" applyFont="1"/>
    <xf numFmtId="164" fontId="8" fillId="0" borderId="0" xfId="0" applyNumberFormat="1" applyFont="1"/>
    <xf numFmtId="166" fontId="6" fillId="3" borderId="0" xfId="0" applyNumberFormat="1" applyFont="1" applyFill="1"/>
    <xf numFmtId="1" fontId="4" fillId="0" borderId="0" xfId="0" applyNumberFormat="1" applyFont="1"/>
    <xf numFmtId="164" fontId="4" fillId="0" borderId="0" xfId="0" applyNumberFormat="1" applyFont="1"/>
    <xf numFmtId="164" fontId="9" fillId="0" borderId="0" xfId="0" applyNumberFormat="1" applyFont="1"/>
    <xf numFmtId="0" fontId="3" fillId="0" borderId="0" xfId="0" applyFont="1"/>
    <xf numFmtId="164" fontId="3" fillId="0" borderId="0" xfId="0" applyNumberFormat="1" applyFont="1"/>
    <xf numFmtId="167" fontId="4" fillId="0" borderId="0" xfId="0" applyNumberFormat="1" applyFont="1"/>
    <xf numFmtId="2" fontId="4" fillId="0" borderId="0" xfId="0" applyNumberFormat="1" applyFont="1"/>
    <xf numFmtId="166" fontId="3" fillId="0" borderId="0" xfId="0" applyNumberFormat="1" applyFon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D12"/>
  <sheetViews>
    <sheetView rightToLeft="1" topLeftCell="A5" zoomScale="85" zoomScaleNormal="85" workbookViewId="0">
      <selection activeCell="C24" sqref="C24"/>
    </sheetView>
  </sheetViews>
  <sheetFormatPr defaultColWidth="8.625" defaultRowHeight="14.25" x14ac:dyDescent="0.2"/>
  <cols>
    <col min="1" max="1" width="13.375" customWidth="1"/>
    <col min="2" max="2" width="65.625" customWidth="1"/>
    <col min="3" max="3" width="68.125" customWidth="1"/>
    <col min="4" max="4" width="34" customWidth="1"/>
  </cols>
  <sheetData>
    <row r="5" spans="1:4" ht="18" x14ac:dyDescent="0.25">
      <c r="C5" s="1" t="s">
        <v>0</v>
      </c>
    </row>
    <row r="7" spans="1:4" ht="15" x14ac:dyDescent="0.2">
      <c r="A7" s="2" t="s">
        <v>1</v>
      </c>
      <c r="B7" s="2" t="s">
        <v>2</v>
      </c>
      <c r="C7" s="2" t="s">
        <v>3</v>
      </c>
      <c r="D7" s="2" t="s">
        <v>4</v>
      </c>
    </row>
    <row r="8" spans="1:4" ht="61.5" customHeight="1" x14ac:dyDescent="0.2">
      <c r="A8" s="3" t="s">
        <v>5</v>
      </c>
      <c r="B8" s="4" t="s">
        <v>6</v>
      </c>
      <c r="C8" s="4" t="s">
        <v>7</v>
      </c>
      <c r="D8" s="4" t="s">
        <v>8</v>
      </c>
    </row>
    <row r="9" spans="1:4" ht="61.5" customHeight="1" x14ac:dyDescent="0.2">
      <c r="A9" s="3" t="s">
        <v>9</v>
      </c>
      <c r="B9" s="4" t="s">
        <v>10</v>
      </c>
      <c r="C9" s="4" t="s">
        <v>11</v>
      </c>
      <c r="D9" s="4" t="s">
        <v>12</v>
      </c>
    </row>
    <row r="10" spans="1:4" ht="61.5" customHeight="1" x14ac:dyDescent="0.2">
      <c r="A10" s="3" t="s">
        <v>13</v>
      </c>
      <c r="B10" s="4" t="s">
        <v>14</v>
      </c>
      <c r="C10" s="4" t="s">
        <v>15</v>
      </c>
      <c r="D10" s="4" t="str">
        <f>"✅ Cost-effective (NPV ≈ EGP "&amp;TEXT(ورقة3!B21,"#,##0")&amp;")"</f>
        <v>✅ Cost-effective (NPV ≈ EGP 478,275)</v>
      </c>
    </row>
    <row r="11" spans="1:4" ht="61.5" customHeight="1" x14ac:dyDescent="0.2">
      <c r="A11" s="3" t="s">
        <v>16</v>
      </c>
      <c r="B11" s="4" t="s">
        <v>17</v>
      </c>
      <c r="C11" s="4" t="s">
        <v>18</v>
      </c>
      <c r="D11" s="4" t="s">
        <v>19</v>
      </c>
    </row>
    <row r="12" spans="1:4" ht="61.5" customHeight="1" x14ac:dyDescent="0.2">
      <c r="A12" s="3" t="s">
        <v>20</v>
      </c>
      <c r="B12" s="4" t="s">
        <v>21</v>
      </c>
      <c r="C12" s="4" t="s">
        <v>22</v>
      </c>
      <c r="D12" s="4" t="s">
        <v>23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5:I24"/>
  <sheetViews>
    <sheetView rightToLeft="1" topLeftCell="A13" zoomScale="70" zoomScaleNormal="70" workbookViewId="0">
      <selection activeCell="B7" sqref="B7"/>
    </sheetView>
  </sheetViews>
  <sheetFormatPr defaultColWidth="8.625" defaultRowHeight="14.25" x14ac:dyDescent="0.2"/>
  <cols>
    <col min="1" max="1" width="17.125" customWidth="1"/>
    <col min="2" max="2" width="60.25" customWidth="1"/>
    <col min="3" max="3" width="16" customWidth="1"/>
    <col min="4" max="4" width="33.75" customWidth="1"/>
    <col min="5" max="5" width="26" customWidth="1"/>
    <col min="8" max="8" width="46" customWidth="1"/>
    <col min="9" max="9" width="16" customWidth="1"/>
  </cols>
  <sheetData>
    <row r="5" spans="3:8" ht="18" x14ac:dyDescent="0.25">
      <c r="C5" s="5" t="s">
        <v>24</v>
      </c>
      <c r="H5" s="1" t="s">
        <v>25</v>
      </c>
    </row>
    <row r="7" spans="3:8" ht="30" x14ac:dyDescent="0.2"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</row>
    <row r="8" spans="3:8" ht="48" customHeight="1" x14ac:dyDescent="0.2">
      <c r="D8" s="3" t="s">
        <v>31</v>
      </c>
      <c r="E8" s="4" t="s">
        <v>32</v>
      </c>
      <c r="F8" s="6">
        <v>180000</v>
      </c>
      <c r="G8" s="4" t="s">
        <v>33</v>
      </c>
      <c r="H8" s="6">
        <v>120000</v>
      </c>
    </row>
    <row r="9" spans="3:8" ht="48" customHeight="1" x14ac:dyDescent="0.2">
      <c r="D9" s="3" t="s">
        <v>34</v>
      </c>
      <c r="E9" s="4" t="s">
        <v>35</v>
      </c>
      <c r="F9" s="6">
        <v>30000</v>
      </c>
      <c r="G9" s="4" t="s">
        <v>36</v>
      </c>
      <c r="H9" s="6">
        <v>30000</v>
      </c>
    </row>
    <row r="10" spans="3:8" ht="48" customHeight="1" x14ac:dyDescent="0.2">
      <c r="D10" s="3" t="s">
        <v>37</v>
      </c>
      <c r="E10" s="4" t="s">
        <v>38</v>
      </c>
      <c r="F10" s="6">
        <v>20000</v>
      </c>
      <c r="G10" s="4" t="s">
        <v>39</v>
      </c>
      <c r="H10" s="4" t="s">
        <v>40</v>
      </c>
    </row>
    <row r="11" spans="3:8" ht="48" customHeight="1" x14ac:dyDescent="0.2">
      <c r="D11" s="3" t="s">
        <v>41</v>
      </c>
      <c r="E11" s="4" t="s">
        <v>42</v>
      </c>
      <c r="F11" s="6">
        <v>20000</v>
      </c>
      <c r="G11" s="4" t="s">
        <v>43</v>
      </c>
      <c r="H11" s="4" t="s">
        <v>40</v>
      </c>
    </row>
    <row r="12" spans="3:8" ht="48" customHeight="1" x14ac:dyDescent="0.2">
      <c r="D12" s="3" t="s">
        <v>44</v>
      </c>
      <c r="E12" s="4" t="s">
        <v>45</v>
      </c>
      <c r="F12" s="6">
        <v>100000</v>
      </c>
      <c r="G12" s="4" t="s">
        <v>46</v>
      </c>
      <c r="H12" s="4" t="s">
        <v>47</v>
      </c>
    </row>
    <row r="13" spans="3:8" ht="48" customHeight="1" x14ac:dyDescent="0.2">
      <c r="D13" s="3" t="s">
        <v>48</v>
      </c>
      <c r="E13" s="4" t="s">
        <v>49</v>
      </c>
      <c r="F13" s="4" t="s">
        <v>47</v>
      </c>
      <c r="G13" s="4" t="s">
        <v>50</v>
      </c>
      <c r="H13" s="6">
        <v>20000</v>
      </c>
    </row>
    <row r="14" spans="3:8" ht="48" customHeight="1" x14ac:dyDescent="0.2">
      <c r="D14" s="3" t="s">
        <v>51</v>
      </c>
      <c r="E14" s="4" t="s">
        <v>52</v>
      </c>
      <c r="F14" s="4" t="s">
        <v>47</v>
      </c>
      <c r="G14" s="4" t="s">
        <v>53</v>
      </c>
      <c r="H14" s="6">
        <v>100000</v>
      </c>
    </row>
    <row r="15" spans="3:8" ht="48" customHeight="1" x14ac:dyDescent="0.2">
      <c r="D15" s="3" t="s">
        <v>54</v>
      </c>
      <c r="E15" s="4" t="s">
        <v>55</v>
      </c>
      <c r="F15" s="4" t="s">
        <v>47</v>
      </c>
      <c r="G15" s="4" t="s">
        <v>56</v>
      </c>
      <c r="H15" s="4" t="s">
        <v>57</v>
      </c>
    </row>
    <row r="16" spans="3:8" ht="15" x14ac:dyDescent="0.2">
      <c r="D16" s="3" t="s">
        <v>58</v>
      </c>
      <c r="E16" s="3"/>
      <c r="F16" s="7">
        <f>SUM(F8:F15)</f>
        <v>350000</v>
      </c>
      <c r="G16" s="3"/>
      <c r="H16" s="7">
        <f>SUM(H8:H15)</f>
        <v>270000</v>
      </c>
    </row>
    <row r="18" spans="8:9" ht="18" x14ac:dyDescent="0.25">
      <c r="H18" s="1" t="s">
        <v>59</v>
      </c>
    </row>
    <row r="20" spans="8:9" ht="15" x14ac:dyDescent="0.25">
      <c r="H20" s="8" t="s">
        <v>60</v>
      </c>
      <c r="I20" s="9">
        <f>F16</f>
        <v>350000</v>
      </c>
    </row>
    <row r="21" spans="8:9" ht="15" x14ac:dyDescent="0.25">
      <c r="H21" s="8" t="s">
        <v>61</v>
      </c>
      <c r="I21" s="9">
        <f>H16</f>
        <v>270000</v>
      </c>
    </row>
    <row r="22" spans="8:9" ht="15" x14ac:dyDescent="0.25">
      <c r="H22" s="8" t="s">
        <v>62</v>
      </c>
      <c r="I22" s="10">
        <f>ورقة3!B24</f>
        <v>1.4287245444801715</v>
      </c>
    </row>
    <row r="23" spans="8:9" ht="15" x14ac:dyDescent="0.25">
      <c r="H23" s="8" t="s">
        <v>63</v>
      </c>
      <c r="I23" s="11">
        <f>ورقة3!B21</f>
        <v>478275.4839399351</v>
      </c>
    </row>
    <row r="24" spans="8:9" x14ac:dyDescent="0.2">
      <c r="H24" s="8" t="s">
        <v>64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rightToLeft="1" tabSelected="1" zoomScale="85" zoomScaleNormal="85" workbookViewId="0">
      <selection activeCell="B4" sqref="B4"/>
    </sheetView>
  </sheetViews>
  <sheetFormatPr defaultColWidth="8.625" defaultRowHeight="14.25" x14ac:dyDescent="0.2"/>
  <cols>
    <col min="1" max="1" width="38" customWidth="1"/>
    <col min="2" max="7" width="14" customWidth="1"/>
  </cols>
  <sheetData>
    <row r="1" spans="1:7" ht="18" x14ac:dyDescent="0.25">
      <c r="E1" s="1" t="s">
        <v>65</v>
      </c>
    </row>
    <row r="3" spans="1:7" x14ac:dyDescent="0.2">
      <c r="D3" s="8" t="s">
        <v>66</v>
      </c>
      <c r="E3" s="12">
        <v>0.12</v>
      </c>
    </row>
    <row r="4" spans="1:7" x14ac:dyDescent="0.2">
      <c r="D4" s="8" t="s">
        <v>67</v>
      </c>
      <c r="E4" s="12">
        <v>0.08</v>
      </c>
    </row>
    <row r="5" spans="1:7" x14ac:dyDescent="0.2">
      <c r="D5" s="8" t="s">
        <v>68</v>
      </c>
      <c r="E5" s="12">
        <v>0.05</v>
      </c>
    </row>
    <row r="6" spans="1:7" x14ac:dyDescent="0.2">
      <c r="C6" s="5" t="s">
        <v>69</v>
      </c>
    </row>
    <row r="7" spans="1:7" ht="15" x14ac:dyDescent="0.2">
      <c r="A7" s="2" t="s">
        <v>70</v>
      </c>
      <c r="B7" s="2" t="s">
        <v>71</v>
      </c>
      <c r="C7" s="2" t="s">
        <v>72</v>
      </c>
      <c r="D7" s="2" t="s">
        <v>73</v>
      </c>
      <c r="E7" s="2" t="s">
        <v>74</v>
      </c>
      <c r="F7" s="2" t="s">
        <v>75</v>
      </c>
      <c r="G7" s="2" t="s">
        <v>76</v>
      </c>
    </row>
    <row r="8" spans="1:7" x14ac:dyDescent="0.2">
      <c r="A8" t="s">
        <v>77</v>
      </c>
      <c r="B8" s="13">
        <v>0</v>
      </c>
      <c r="C8" s="13">
        <v>1</v>
      </c>
      <c r="D8" s="13">
        <v>2</v>
      </c>
      <c r="E8" s="13">
        <v>3</v>
      </c>
      <c r="F8" s="13">
        <v>4</v>
      </c>
      <c r="G8" s="13">
        <v>5</v>
      </c>
    </row>
    <row r="9" spans="1:7" x14ac:dyDescent="0.2">
      <c r="A9" s="8" t="s">
        <v>29</v>
      </c>
      <c r="B9" s="14">
        <v>0</v>
      </c>
      <c r="C9" s="15">
        <f>ورقة2!$H$16*(1+$E$4)^(C$8-1)</f>
        <v>270000</v>
      </c>
      <c r="D9" s="15">
        <f>ورقة2!$H$16*(1+$E$4)^(D$8-1)</f>
        <v>291600</v>
      </c>
      <c r="E9" s="15">
        <f>ورقة2!$H$16*(1+$E$4)^(E$8-1)</f>
        <v>314928</v>
      </c>
      <c r="F9" s="15">
        <f>ورقة2!$H$16*(1+$E$4)^(F$8-1)</f>
        <v>340122.24000000005</v>
      </c>
      <c r="G9" s="15">
        <f>ورقة2!$H$16*(1+$E$4)^(G$8-1)</f>
        <v>367332.0192000001</v>
      </c>
    </row>
    <row r="10" spans="1:7" x14ac:dyDescent="0.2">
      <c r="A10" s="8" t="s">
        <v>78</v>
      </c>
      <c r="B10" s="15">
        <f>SUM(ورقة2!F8:F11)</f>
        <v>250000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</row>
    <row r="11" spans="1:7" x14ac:dyDescent="0.2">
      <c r="A11" s="8" t="s">
        <v>79</v>
      </c>
      <c r="B11" s="14">
        <v>0</v>
      </c>
      <c r="C11" s="15">
        <f>ورقة2!$F$12*(1+$E$5)^(C$8-1)</f>
        <v>100000</v>
      </c>
      <c r="D11" s="15">
        <f>ورقة2!$F$12*(1+$E$5)^(D$8-1)</f>
        <v>105000</v>
      </c>
      <c r="E11" s="15">
        <f>ورقة2!$F$12*(1+$E$5)^(E$8-1)</f>
        <v>110250</v>
      </c>
      <c r="F11" s="15">
        <f>ورقة2!$F$12*(1+$E$5)^(F$8-1)</f>
        <v>115762.50000000001</v>
      </c>
      <c r="G11" s="15">
        <f>ورقة2!$F$12*(1+$E$5)^(G$8-1)</f>
        <v>121550.625</v>
      </c>
    </row>
    <row r="12" spans="1:7" ht="15" x14ac:dyDescent="0.25">
      <c r="A12" s="16" t="s">
        <v>80</v>
      </c>
      <c r="B12" s="17">
        <f t="shared" ref="B12:G12" si="0">B10+B11</f>
        <v>250000</v>
      </c>
      <c r="C12" s="17">
        <f t="shared" si="0"/>
        <v>100000</v>
      </c>
      <c r="D12" s="17">
        <f t="shared" si="0"/>
        <v>105000</v>
      </c>
      <c r="E12" s="17">
        <f t="shared" si="0"/>
        <v>110250</v>
      </c>
      <c r="F12" s="17">
        <f t="shared" si="0"/>
        <v>115762.50000000001</v>
      </c>
      <c r="G12" s="17">
        <f t="shared" si="0"/>
        <v>121550.625</v>
      </c>
    </row>
    <row r="13" spans="1:7" ht="15" x14ac:dyDescent="0.25">
      <c r="A13" s="16" t="s">
        <v>81</v>
      </c>
      <c r="B13" s="17">
        <f t="shared" ref="B13:G13" si="1">B9-B12</f>
        <v>-250000</v>
      </c>
      <c r="C13" s="17">
        <f t="shared" si="1"/>
        <v>170000</v>
      </c>
      <c r="D13" s="17">
        <f t="shared" si="1"/>
        <v>186600</v>
      </c>
      <c r="E13" s="17">
        <f t="shared" si="1"/>
        <v>204678</v>
      </c>
      <c r="F13" s="17">
        <f t="shared" si="1"/>
        <v>224359.74000000005</v>
      </c>
      <c r="G13" s="17">
        <f t="shared" si="1"/>
        <v>245781.3942000001</v>
      </c>
    </row>
    <row r="14" spans="1:7" x14ac:dyDescent="0.2">
      <c r="A14" s="8" t="s">
        <v>82</v>
      </c>
      <c r="B14" s="14">
        <f>B13</f>
        <v>-250000</v>
      </c>
      <c r="C14" s="14">
        <f>B14+C13</f>
        <v>-80000</v>
      </c>
      <c r="D14" s="14">
        <f>C14+D13</f>
        <v>106600</v>
      </c>
      <c r="E14" s="14">
        <f>D14+E13</f>
        <v>311278</v>
      </c>
      <c r="F14" s="14">
        <f>E14+F13</f>
        <v>535637.74</v>
      </c>
      <c r="G14" s="14">
        <f>F14+G13</f>
        <v>781419.13420000009</v>
      </c>
    </row>
    <row r="15" spans="1:7" x14ac:dyDescent="0.2">
      <c r="A15" s="8" t="s">
        <v>83</v>
      </c>
      <c r="B15" s="18">
        <f>1/(1+$E$3)^B$8</f>
        <v>1</v>
      </c>
      <c r="C15" s="18">
        <f>1/(1+$E$3)^C$8</f>
        <v>0.89285714285714279</v>
      </c>
      <c r="D15" s="18">
        <f>1/(1+$E$3)^D$8</f>
        <v>0.79719387755102034</v>
      </c>
      <c r="E15" s="18">
        <f>1/(1+$E$3)^E$8</f>
        <v>0.71178024781341087</v>
      </c>
      <c r="F15" s="18">
        <f>1/(1+$E$3)^F$8</f>
        <v>0.63551807840483121</v>
      </c>
      <c r="G15" s="18">
        <f>1/(1+$E$3)^G$8</f>
        <v>0.56742685571859919</v>
      </c>
    </row>
    <row r="16" spans="1:7" x14ac:dyDescent="0.2">
      <c r="A16" s="8" t="s">
        <v>84</v>
      </c>
      <c r="B16" s="14">
        <f t="shared" ref="B16:G16" si="2">B9*B15</f>
        <v>0</v>
      </c>
      <c r="C16" s="14">
        <f t="shared" si="2"/>
        <v>241071.42857142855</v>
      </c>
      <c r="D16" s="14">
        <f t="shared" si="2"/>
        <v>232461.73469387752</v>
      </c>
      <c r="E16" s="14">
        <f t="shared" si="2"/>
        <v>224159.52988338185</v>
      </c>
      <c r="F16" s="14">
        <f t="shared" si="2"/>
        <v>216153.83238754686</v>
      </c>
      <c r="G16" s="14">
        <f t="shared" si="2"/>
        <v>208434.05265942015</v>
      </c>
    </row>
    <row r="17" spans="1:7" x14ac:dyDescent="0.2">
      <c r="A17" s="8" t="s">
        <v>85</v>
      </c>
      <c r="B17" s="14">
        <f t="shared" ref="B17:G17" si="3">B12*B15</f>
        <v>250000</v>
      </c>
      <c r="C17" s="14">
        <f t="shared" si="3"/>
        <v>89285.714285714275</v>
      </c>
      <c r="D17" s="14">
        <f t="shared" si="3"/>
        <v>83705.35714285713</v>
      </c>
      <c r="E17" s="14">
        <f t="shared" si="3"/>
        <v>78473.772321428551</v>
      </c>
      <c r="F17" s="14">
        <f t="shared" si="3"/>
        <v>73569.161551339275</v>
      </c>
      <c r="G17" s="14">
        <f t="shared" si="3"/>
        <v>68971.088954380553</v>
      </c>
    </row>
    <row r="18" spans="1:7" x14ac:dyDescent="0.2">
      <c r="A18" s="8" t="s">
        <v>86</v>
      </c>
      <c r="B18" s="14">
        <f t="shared" ref="B18:G18" si="4">B13*B15</f>
        <v>-250000</v>
      </c>
      <c r="C18" s="14">
        <f t="shared" si="4"/>
        <v>151785.71428571426</v>
      </c>
      <c r="D18" s="14">
        <f t="shared" si="4"/>
        <v>148756.37755102038</v>
      </c>
      <c r="E18" s="14">
        <f t="shared" si="4"/>
        <v>145685.7575619533</v>
      </c>
      <c r="F18" s="14">
        <f t="shared" si="4"/>
        <v>142584.67083620757</v>
      </c>
      <c r="G18" s="14">
        <f t="shared" si="4"/>
        <v>139462.96370503961</v>
      </c>
    </row>
    <row r="19" spans="1:7" x14ac:dyDescent="0.2">
      <c r="A19" s="8" t="s">
        <v>87</v>
      </c>
      <c r="B19" s="19">
        <v>0</v>
      </c>
      <c r="C19" s="19">
        <f>IF(AND(B14&lt;0,C14&gt;=0),C$8-1+(-B14)/C13,0)</f>
        <v>0</v>
      </c>
      <c r="D19" s="19">
        <f>IF(AND(C14&lt;0,D14&gt;=0),D$8-1+(-C14)/D13,0)</f>
        <v>1.4287245444801715</v>
      </c>
      <c r="E19" s="19">
        <f>IF(AND(D14&lt;0,E14&gt;=0),E$8-1+(-D14)/E13,0)</f>
        <v>0</v>
      </c>
      <c r="F19" s="19">
        <f>IF(AND(E14&lt;0,F14&gt;=0),F$8-1+(-E14)/F13,0)</f>
        <v>0</v>
      </c>
      <c r="G19" s="19">
        <f>IF(AND(F14&lt;0,G14&gt;=0),G$8-1+(-F14)/G13,0)</f>
        <v>0</v>
      </c>
    </row>
    <row r="21" spans="1:7" ht="15" x14ac:dyDescent="0.25">
      <c r="A21" s="16" t="s">
        <v>88</v>
      </c>
      <c r="B21" s="17">
        <f>SUM(B18:G18)</f>
        <v>478275.4839399351</v>
      </c>
    </row>
    <row r="22" spans="1:7" ht="15" x14ac:dyDescent="0.25">
      <c r="A22" s="16" t="s">
        <v>89</v>
      </c>
      <c r="B22" s="20">
        <f>(SUM(B16:G16)-SUM(B17:G17))/SUM(B17:G17)</f>
        <v>0.74265792026487121</v>
      </c>
    </row>
    <row r="23" spans="1:7" ht="15" x14ac:dyDescent="0.25">
      <c r="A23" s="16" t="s">
        <v>90</v>
      </c>
      <c r="B23" s="20">
        <f>IRR(B13:G13)</f>
        <v>0.70124528212727144</v>
      </c>
    </row>
    <row r="24" spans="1:7" ht="15" x14ac:dyDescent="0.25">
      <c r="A24" s="16" t="s">
        <v>62</v>
      </c>
      <c r="B24" s="21">
        <f>SUM(C19:G19)</f>
        <v>1.4287245444801715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NILE NEW</dc:creator>
  <dc:description/>
  <cp:lastModifiedBy>y</cp:lastModifiedBy>
  <cp:revision>0</cp:revision>
  <dcterms:created xsi:type="dcterms:W3CDTF">2025-10-04T05:40:21Z</dcterms:created>
  <dcterms:modified xsi:type="dcterms:W3CDTF">2026-10-05T10:26:04Z</dcterms:modified>
  <dc:language>en-US</dc:language>
</cp:coreProperties>
</file>